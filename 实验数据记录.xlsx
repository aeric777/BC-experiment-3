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F:\李冬，雷俊峰\"/>
    </mc:Choice>
  </mc:AlternateContent>
  <bookViews>
    <workbookView xWindow="0" yWindow="0" windowWidth="28800" windowHeight="1224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" i="1" l="1"/>
  <c r="G2" i="1"/>
  <c r="F2" i="1"/>
</calcChain>
</file>

<file path=xl/sharedStrings.xml><?xml version="1.0" encoding="utf-8"?>
<sst xmlns="http://schemas.openxmlformats.org/spreadsheetml/2006/main" count="71" uniqueCount="36">
  <si>
    <t>项目</t>
  </si>
  <si>
    <r>
      <t>U</t>
    </r>
    <r>
      <rPr>
        <i/>
        <sz val="7"/>
        <color theme="1"/>
        <rFont val="Times New Roman"/>
        <family val="1"/>
      </rPr>
      <t xml:space="preserve">oc </t>
    </r>
    <r>
      <rPr>
        <sz val="12"/>
        <color theme="1"/>
        <rFont val="宋体"/>
        <family val="3"/>
        <charset val="134"/>
      </rPr>
      <t>（</t>
    </r>
    <r>
      <rPr>
        <sz val="12"/>
        <color theme="1"/>
        <rFont val="Times New Roman"/>
        <family val="1"/>
      </rPr>
      <t>V</t>
    </r>
    <r>
      <rPr>
        <sz val="12"/>
        <color theme="1"/>
        <rFont val="宋体"/>
        <family val="3"/>
        <charset val="134"/>
      </rPr>
      <t>）</t>
    </r>
  </si>
  <si>
    <r>
      <t xml:space="preserve">U </t>
    </r>
    <r>
      <rPr>
        <sz val="12"/>
        <color theme="1"/>
        <rFont val="宋体"/>
        <family val="3"/>
        <charset val="134"/>
      </rPr>
      <t>（</t>
    </r>
    <r>
      <rPr>
        <sz val="12"/>
        <color theme="1"/>
        <rFont val="Times New Roman"/>
        <family val="1"/>
      </rPr>
      <t>V</t>
    </r>
    <r>
      <rPr>
        <sz val="12"/>
        <color theme="1"/>
        <rFont val="宋体"/>
        <family val="3"/>
        <charset val="134"/>
      </rPr>
      <t>）</t>
    </r>
  </si>
  <si>
    <r>
      <t xml:space="preserve">I </t>
    </r>
    <r>
      <rPr>
        <i/>
        <sz val="7"/>
        <color theme="1"/>
        <rFont val="Times New Roman"/>
        <family val="1"/>
      </rPr>
      <t xml:space="preserve">sc </t>
    </r>
    <r>
      <rPr>
        <sz val="12"/>
        <color theme="1"/>
        <rFont val="Times New Roman"/>
        <family val="1"/>
      </rPr>
      <t>(mA)</t>
    </r>
  </si>
  <si>
    <t>数值</t>
  </si>
  <si>
    <r>
      <t>R</t>
    </r>
    <r>
      <rPr>
        <i/>
        <sz val="7"/>
        <color theme="1"/>
        <rFont val="Times New Roman"/>
        <family val="1"/>
      </rPr>
      <t xml:space="preserve">eq </t>
    </r>
    <r>
      <rPr>
        <sz val="12"/>
        <color theme="1"/>
        <rFont val="宋体"/>
        <family val="3"/>
        <charset val="134"/>
      </rPr>
      <t>（</t>
    </r>
    <r>
      <rPr>
        <sz val="12"/>
        <color theme="1"/>
        <rFont val="Symbol"/>
        <family val="1"/>
        <charset val="2"/>
      </rPr>
      <t>W</t>
    </r>
    <r>
      <rPr>
        <sz val="12"/>
        <color theme="1"/>
        <rFont val="宋体"/>
        <family val="3"/>
        <charset val="134"/>
      </rPr>
      <t>）</t>
    </r>
    <phoneticPr fontId="8" type="noConversion"/>
  </si>
  <si>
    <t xml:space="preserve">Req1 </t>
    <phoneticPr fontId="8" type="noConversion"/>
  </si>
  <si>
    <t>Req2</t>
    <phoneticPr fontId="8" type="noConversion"/>
  </si>
  <si>
    <t>RL</t>
    <phoneticPr fontId="8" type="noConversion"/>
  </si>
  <si>
    <t>次数</t>
    <phoneticPr fontId="8" type="noConversion"/>
  </si>
  <si>
    <t>I（mA）</t>
    <phoneticPr fontId="8" type="noConversion"/>
  </si>
  <si>
    <t>U（V）</t>
    <phoneticPr fontId="8" type="noConversion"/>
  </si>
  <si>
    <t>给定值</t>
  </si>
  <si>
    <r>
      <t>U</t>
    </r>
    <r>
      <rPr>
        <sz val="7"/>
        <color theme="1"/>
        <rFont val="Times New Roman"/>
        <family val="1"/>
      </rPr>
      <t>1</t>
    </r>
    <r>
      <rPr>
        <sz val="12"/>
        <color theme="1"/>
        <rFont val="宋体"/>
        <family val="3"/>
        <charset val="134"/>
      </rPr>
      <t>（</t>
    </r>
    <r>
      <rPr>
        <sz val="12"/>
        <color theme="1"/>
        <rFont val="Times New Roman"/>
        <family val="1"/>
      </rPr>
      <t>V</t>
    </r>
    <r>
      <rPr>
        <sz val="12"/>
        <color theme="1"/>
        <rFont val="宋体"/>
        <family val="3"/>
        <charset val="134"/>
      </rPr>
      <t>）</t>
    </r>
  </si>
  <si>
    <t>vcvs</t>
  </si>
  <si>
    <t>测量值</t>
  </si>
  <si>
    <r>
      <t xml:space="preserve">U </t>
    </r>
    <r>
      <rPr>
        <sz val="7"/>
        <color theme="1"/>
        <rFont val="Times New Roman"/>
        <family val="1"/>
      </rPr>
      <t>2</t>
    </r>
    <r>
      <rPr>
        <sz val="12"/>
        <color theme="1"/>
        <rFont val="宋体"/>
        <family val="3"/>
        <charset val="134"/>
      </rPr>
      <t>（</t>
    </r>
    <r>
      <rPr>
        <sz val="12"/>
        <color theme="1"/>
        <rFont val="Times New Roman"/>
        <family val="1"/>
      </rPr>
      <t>V</t>
    </r>
    <r>
      <rPr>
        <sz val="12"/>
        <color theme="1"/>
        <rFont val="宋体"/>
        <family val="3"/>
        <charset val="134"/>
      </rPr>
      <t>）</t>
    </r>
  </si>
  <si>
    <t>计算值</t>
  </si>
  <si>
    <t>m</t>
  </si>
  <si>
    <t>/</t>
  </si>
  <si>
    <t>vccs</t>
  </si>
  <si>
    <r>
      <t xml:space="preserve">I </t>
    </r>
    <r>
      <rPr>
        <i/>
        <sz val="7"/>
        <color theme="1"/>
        <rFont val="Times New Roman"/>
        <family val="1"/>
      </rPr>
      <t xml:space="preserve">S </t>
    </r>
    <r>
      <rPr>
        <sz val="12"/>
        <color theme="1"/>
        <rFont val="Times New Roman"/>
        <family val="1"/>
      </rPr>
      <t>(mA</t>
    </r>
  </si>
  <si>
    <t>)</t>
  </si>
  <si>
    <r>
      <t>g</t>
    </r>
    <r>
      <rPr>
        <i/>
        <sz val="7"/>
        <color theme="1"/>
        <rFont val="Times New Roman"/>
        <family val="1"/>
      </rPr>
      <t xml:space="preserve">m </t>
    </r>
    <r>
      <rPr>
        <sz val="12"/>
        <color theme="1"/>
        <rFont val="Times New Roman"/>
        <family val="1"/>
      </rPr>
      <t>(s)</t>
    </r>
  </si>
  <si>
    <r>
      <t>R</t>
    </r>
    <r>
      <rPr>
        <sz val="7"/>
        <color theme="1"/>
        <rFont val="Times New Roman"/>
        <family val="1"/>
      </rPr>
      <t xml:space="preserve">1 </t>
    </r>
    <r>
      <rPr>
        <sz val="12"/>
        <color theme="1"/>
        <rFont val="宋体"/>
        <family val="3"/>
        <charset val="134"/>
      </rPr>
      <t>（</t>
    </r>
    <r>
      <rPr>
        <sz val="12"/>
        <color theme="1"/>
        <rFont val="Times New Roman"/>
        <family val="1"/>
      </rPr>
      <t>K</t>
    </r>
    <r>
      <rPr>
        <sz val="12"/>
        <color theme="1"/>
        <rFont val="Symbol"/>
        <family val="1"/>
        <charset val="2"/>
      </rPr>
      <t>W</t>
    </r>
    <r>
      <rPr>
        <sz val="12"/>
        <color theme="1"/>
        <rFont val="宋体"/>
        <family val="3"/>
        <charset val="134"/>
      </rPr>
      <t>）</t>
    </r>
  </si>
  <si>
    <r>
      <t xml:space="preserve">U </t>
    </r>
    <r>
      <rPr>
        <sz val="7"/>
        <color theme="1"/>
        <rFont val="Times New Roman"/>
        <family val="1"/>
      </rPr>
      <t xml:space="preserve">2 </t>
    </r>
    <r>
      <rPr>
        <sz val="12"/>
        <color theme="1"/>
        <rFont val="宋体"/>
        <family val="3"/>
        <charset val="134"/>
      </rPr>
      <t>（</t>
    </r>
    <r>
      <rPr>
        <sz val="12"/>
        <color theme="1"/>
        <rFont val="Times New Roman"/>
        <family val="1"/>
      </rPr>
      <t>V</t>
    </r>
    <r>
      <rPr>
        <sz val="12"/>
        <color theme="1"/>
        <rFont val="宋体"/>
        <family val="3"/>
        <charset val="134"/>
      </rPr>
      <t>）</t>
    </r>
  </si>
  <si>
    <r>
      <t xml:space="preserve">I </t>
    </r>
    <r>
      <rPr>
        <i/>
        <sz val="7"/>
        <color theme="1"/>
        <rFont val="Times New Roman"/>
        <family val="1"/>
      </rPr>
      <t xml:space="preserve">S </t>
    </r>
    <r>
      <rPr>
        <sz val="12"/>
        <color theme="1"/>
        <rFont val="Times New Roman"/>
        <family val="1"/>
      </rPr>
      <t>(mA)</t>
    </r>
  </si>
  <si>
    <r>
      <t>R</t>
    </r>
    <r>
      <rPr>
        <i/>
        <sz val="7"/>
        <color theme="1"/>
        <rFont val="Times New Roman"/>
        <family val="1"/>
      </rPr>
      <t xml:space="preserve">i </t>
    </r>
    <r>
      <rPr>
        <sz val="12"/>
        <color theme="1"/>
        <rFont val="宋体"/>
        <family val="3"/>
        <charset val="134"/>
      </rPr>
      <t>（</t>
    </r>
    <r>
      <rPr>
        <sz val="12"/>
        <color theme="1"/>
        <rFont val="Times New Roman"/>
        <family val="1"/>
      </rPr>
      <t>K</t>
    </r>
    <r>
      <rPr>
        <sz val="12"/>
        <color theme="1"/>
        <rFont val="Symbol"/>
        <family val="1"/>
        <charset val="2"/>
      </rPr>
      <t>W</t>
    </r>
    <r>
      <rPr>
        <sz val="12"/>
        <color theme="1"/>
        <rFont val="宋体"/>
        <family val="3"/>
        <charset val="134"/>
      </rPr>
      <t>）</t>
    </r>
  </si>
  <si>
    <r>
      <t>I</t>
    </r>
    <r>
      <rPr>
        <sz val="7"/>
        <color theme="1"/>
        <rFont val="Times New Roman"/>
        <family val="1"/>
      </rPr>
      <t xml:space="preserve">1 </t>
    </r>
    <r>
      <rPr>
        <sz val="12"/>
        <color theme="1"/>
        <rFont val="宋体"/>
        <family val="3"/>
        <charset val="134"/>
      </rPr>
      <t>（</t>
    </r>
    <r>
      <rPr>
        <sz val="12"/>
        <color theme="1"/>
        <rFont val="Times New Roman"/>
        <family val="1"/>
      </rPr>
      <t>mA</t>
    </r>
    <r>
      <rPr>
        <sz val="12"/>
        <color theme="1"/>
        <rFont val="宋体"/>
        <family val="3"/>
        <charset val="134"/>
      </rPr>
      <t>）</t>
    </r>
  </si>
  <si>
    <r>
      <t>r</t>
    </r>
    <r>
      <rPr>
        <i/>
        <sz val="7"/>
        <color theme="1"/>
        <rFont val="Times New Roman"/>
        <family val="1"/>
      </rPr>
      <t xml:space="preserve">m </t>
    </r>
    <r>
      <rPr>
        <sz val="12"/>
        <color theme="1"/>
        <rFont val="宋体"/>
        <family val="3"/>
        <charset val="134"/>
      </rPr>
      <t>（</t>
    </r>
    <r>
      <rPr>
        <sz val="12"/>
        <color theme="1"/>
        <rFont val="Symbol"/>
        <family val="1"/>
        <charset val="2"/>
      </rPr>
      <t>W</t>
    </r>
    <r>
      <rPr>
        <sz val="12"/>
        <color theme="1"/>
        <rFont val="宋体"/>
        <family val="3"/>
        <charset val="134"/>
      </rPr>
      <t>）</t>
    </r>
  </si>
  <si>
    <r>
      <t xml:space="preserve">R </t>
    </r>
    <r>
      <rPr>
        <sz val="12"/>
        <color theme="1"/>
        <rFont val="宋体"/>
        <family val="3"/>
        <charset val="134"/>
      </rPr>
      <t>（</t>
    </r>
    <r>
      <rPr>
        <sz val="12"/>
        <color theme="1"/>
        <rFont val="Times New Roman"/>
        <family val="1"/>
      </rPr>
      <t>K</t>
    </r>
    <r>
      <rPr>
        <sz val="12"/>
        <color theme="1"/>
        <rFont val="Symbol"/>
        <family val="1"/>
        <charset val="2"/>
      </rPr>
      <t>W</t>
    </r>
    <r>
      <rPr>
        <sz val="12"/>
        <color theme="1"/>
        <rFont val="宋体"/>
        <family val="3"/>
        <charset val="134"/>
      </rPr>
      <t>）</t>
    </r>
  </si>
  <si>
    <r>
      <rPr>
        <sz val="12"/>
        <color theme="1"/>
        <rFont val="Times New Roman"/>
        <family val="1"/>
      </rPr>
      <t>RL</t>
    </r>
    <r>
      <rPr>
        <sz val="12"/>
        <color theme="1"/>
        <rFont val="宋体"/>
        <family val="3"/>
        <charset val="134"/>
      </rPr>
      <t>（</t>
    </r>
    <r>
      <rPr>
        <sz val="12"/>
        <color theme="1"/>
        <rFont val="Times New Roman"/>
        <family val="1"/>
      </rPr>
      <t>K</t>
    </r>
    <r>
      <rPr>
        <sz val="12"/>
        <color theme="1"/>
        <rFont val="Symbol"/>
        <family val="1"/>
        <charset val="2"/>
      </rPr>
      <t>W</t>
    </r>
    <r>
      <rPr>
        <sz val="12"/>
        <color theme="1"/>
        <rFont val="宋体"/>
        <family val="3"/>
        <charset val="134"/>
      </rPr>
      <t>）</t>
    </r>
    <phoneticPr fontId="8" type="noConversion"/>
  </si>
  <si>
    <r>
      <t>I</t>
    </r>
    <r>
      <rPr>
        <sz val="7"/>
        <color theme="1"/>
        <rFont val="Times New Roman"/>
        <family val="1"/>
      </rPr>
      <t xml:space="preserve">2 </t>
    </r>
    <r>
      <rPr>
        <sz val="12"/>
        <color theme="1"/>
        <rFont val="宋体"/>
        <family val="3"/>
        <charset val="134"/>
      </rPr>
      <t>（mA）</t>
    </r>
    <phoneticPr fontId="8" type="noConversion"/>
  </si>
  <si>
    <r>
      <t>Ri</t>
    </r>
    <r>
      <rPr>
        <sz val="12"/>
        <color theme="1"/>
        <rFont val="宋体"/>
        <family val="3"/>
        <charset val="134"/>
      </rPr>
      <t>（</t>
    </r>
    <r>
      <rPr>
        <sz val="12"/>
        <color theme="1"/>
        <rFont val="Times New Roman"/>
        <family val="1"/>
      </rPr>
      <t>K</t>
    </r>
    <r>
      <rPr>
        <sz val="12"/>
        <color theme="1"/>
        <rFont val="Symbol"/>
        <family val="1"/>
        <charset val="2"/>
      </rPr>
      <t>W</t>
    </r>
    <r>
      <rPr>
        <sz val="12"/>
        <color theme="1"/>
        <rFont val="宋体"/>
        <family val="3"/>
        <charset val="134"/>
      </rPr>
      <t>）</t>
    </r>
    <phoneticPr fontId="8" type="noConversion"/>
  </si>
  <si>
    <r>
      <t xml:space="preserve">I </t>
    </r>
    <r>
      <rPr>
        <sz val="7"/>
        <color theme="1"/>
        <rFont val="Times New Roman"/>
        <family val="1"/>
      </rPr>
      <t xml:space="preserve">2 </t>
    </r>
    <r>
      <rPr>
        <sz val="12"/>
        <color theme="1"/>
        <rFont val="宋体"/>
        <family val="3"/>
        <charset val="134"/>
      </rPr>
      <t>（mA）</t>
    </r>
    <phoneticPr fontId="8" type="noConversion"/>
  </si>
  <si>
    <r>
      <t>R3</t>
    </r>
    <r>
      <rPr>
        <sz val="12"/>
        <color theme="1"/>
        <rFont val="宋体"/>
        <family val="3"/>
        <charset val="134"/>
      </rPr>
      <t>（</t>
    </r>
    <r>
      <rPr>
        <sz val="12"/>
        <color theme="1"/>
        <rFont val="Times New Roman"/>
        <family val="1"/>
      </rPr>
      <t>K</t>
    </r>
    <r>
      <rPr>
        <sz val="12"/>
        <color theme="1"/>
        <rFont val="Symbol"/>
        <family val="1"/>
        <charset val="2"/>
      </rPr>
      <t>W</t>
    </r>
    <r>
      <rPr>
        <sz val="12"/>
        <color theme="1"/>
        <rFont val="宋体"/>
        <family val="3"/>
        <charset val="134"/>
      </rPr>
      <t>）</t>
    </r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</si>
</sst>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3" x14ac:knownFonts="1">
    <font>
      <sz val="11"/>
      <color theme="1"/>
      <name val="等线"/>
      <family val="2"/>
      <charset val="134"/>
      <scheme val="minor"/>
    </font>
    <font>
      <sz val="11"/>
      <color theme="1"/>
      <name val="Times New Roman"/>
      <family val="1"/>
    </font>
    <font>
      <sz val="12"/>
      <color theme="1"/>
      <name val="宋体"/>
      <family val="3"/>
      <charset val="134"/>
    </font>
    <font>
      <i/>
      <sz val="12"/>
      <color theme="1"/>
      <name val="Times New Roman"/>
      <family val="1"/>
    </font>
    <font>
      <i/>
      <sz val="7"/>
      <color theme="1"/>
      <name val="Times New Roman"/>
      <family val="1"/>
    </font>
    <font>
      <sz val="12"/>
      <color theme="1"/>
      <name val="Times New Roman"/>
      <family val="1"/>
    </font>
    <font>
      <sz val="12"/>
      <color theme="1"/>
      <name val="Symbol"/>
      <family val="1"/>
      <charset val="2"/>
    </font>
    <font>
      <sz val="13"/>
      <color theme="1"/>
      <name val="Times New Roman"/>
      <family val="1"/>
    </font>
    <font>
      <sz val="9"/>
      <name val="等线"/>
      <family val="2"/>
      <charset val="134"/>
      <scheme val="minor"/>
    </font>
    <font>
      <sz val="7"/>
      <color theme="1"/>
      <name val="Times New Roman"/>
      <family val="1"/>
    </font>
    <font>
      <i/>
      <sz val="12.5"/>
      <color theme="1"/>
      <name val="Symbol"/>
      <family val="1"/>
      <charset val="2"/>
    </font>
    <font>
      <sz val="12.5"/>
      <color theme="1"/>
      <name val="Times New Roman"/>
      <family val="1"/>
    </font>
    <font>
      <sz val="10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48">
    <xf numFmtId="0" fontId="0" fillId="0" borderId="0" xfId="0">
      <alignment vertical="center"/>
    </xf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vertical="center" wrapText="1"/>
    </xf>
    <xf numFmtId="0" fontId="7" fillId="0" borderId="0" xfId="0" applyFont="1">
      <alignment vertical="center"/>
    </xf>
    <xf numFmtId="0" fontId="2" fillId="0" borderId="7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left" vertical="center" wrapText="1" indent="1"/>
    </xf>
    <xf numFmtId="0" fontId="3" fillId="0" borderId="7" xfId="0" applyFont="1" applyBorder="1" applyAlignment="1">
      <alignment horizontal="left" vertical="center" wrapText="1" indent="2"/>
    </xf>
    <xf numFmtId="0" fontId="3" fillId="0" borderId="7" xfId="0" applyFont="1" applyFill="1" applyBorder="1" applyAlignment="1">
      <alignment horizontal="left" vertical="center" wrapText="1" indent="2"/>
    </xf>
    <xf numFmtId="0" fontId="1" fillId="0" borderId="7" xfId="0" applyFont="1" applyBorder="1" applyAlignment="1">
      <alignment vertical="center" wrapText="1"/>
    </xf>
    <xf numFmtId="0" fontId="0" fillId="0" borderId="8" xfId="0" applyBorder="1" applyAlignment="1">
      <alignment horizontal="center" vertical="center"/>
    </xf>
    <xf numFmtId="0" fontId="1" fillId="0" borderId="7" xfId="0" applyFont="1" applyBorder="1">
      <alignment vertical="center"/>
    </xf>
    <xf numFmtId="0" fontId="3" fillId="0" borderId="2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7" fillId="0" borderId="10" xfId="0" applyFont="1" applyBorder="1" applyAlignment="1">
      <alignment vertical="center" wrapText="1"/>
    </xf>
    <xf numFmtId="0" fontId="5" fillId="0" borderId="3" xfId="0" applyFont="1" applyBorder="1" applyAlignment="1">
      <alignment horizontal="left" vertical="center" wrapText="1" indent="1"/>
    </xf>
    <xf numFmtId="0" fontId="2" fillId="0" borderId="4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left" vertical="center" wrapText="1" indent="1"/>
    </xf>
    <xf numFmtId="0" fontId="0" fillId="0" borderId="3" xfId="0" applyBorder="1" applyAlignment="1">
      <alignment vertical="top" wrapText="1"/>
    </xf>
    <xf numFmtId="0" fontId="11" fillId="0" borderId="5" xfId="0" applyFont="1" applyBorder="1" applyAlignment="1">
      <alignment vertical="center" wrapText="1"/>
    </xf>
    <xf numFmtId="0" fontId="3" fillId="0" borderId="5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left" vertical="center" wrapText="1" indent="3"/>
    </xf>
    <xf numFmtId="0" fontId="2" fillId="0" borderId="2" xfId="0" applyFont="1" applyBorder="1" applyAlignment="1">
      <alignment horizontal="left" vertical="center" wrapText="1" indent="3"/>
    </xf>
    <xf numFmtId="0" fontId="1" fillId="0" borderId="4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3" fillId="0" borderId="2" xfId="0" applyFont="1" applyBorder="1" applyAlignment="1">
      <alignment vertical="center" wrapText="1"/>
    </xf>
    <xf numFmtId="0" fontId="5" fillId="0" borderId="3" xfId="0" applyFont="1" applyBorder="1" applyAlignment="1">
      <alignment vertical="center" wrapText="1"/>
    </xf>
    <xf numFmtId="0" fontId="3" fillId="0" borderId="4" xfId="0" applyFont="1" applyBorder="1" applyAlignment="1">
      <alignment vertical="center" wrapText="1"/>
    </xf>
    <xf numFmtId="0" fontId="3" fillId="0" borderId="4" xfId="0" applyFont="1" applyBorder="1" applyAlignment="1">
      <alignment horizontal="left" vertical="center" wrapText="1" indent="1"/>
    </xf>
    <xf numFmtId="0" fontId="3" fillId="0" borderId="4" xfId="0" applyFont="1" applyBorder="1" applyAlignment="1">
      <alignment horizontal="left" vertical="center" wrapText="1" indent="2"/>
    </xf>
    <xf numFmtId="0" fontId="2" fillId="0" borderId="9" xfId="0" applyFont="1" applyBorder="1" applyAlignment="1">
      <alignment horizontal="left" vertical="center" wrapText="1" indent="2"/>
    </xf>
    <xf numFmtId="0" fontId="2" fillId="0" borderId="2" xfId="0" applyFont="1" applyBorder="1" applyAlignment="1">
      <alignment horizontal="left" vertical="center" wrapText="1" indent="2"/>
    </xf>
    <xf numFmtId="0" fontId="2" fillId="0" borderId="11" xfId="0" applyFont="1" applyBorder="1" applyAlignment="1">
      <alignment horizontal="left" vertical="center" wrapText="1" indent="1"/>
    </xf>
    <xf numFmtId="0" fontId="2" fillId="0" borderId="3" xfId="0" applyFont="1" applyBorder="1" applyAlignment="1">
      <alignment horizontal="left" vertical="center" wrapText="1" indent="1"/>
    </xf>
    <xf numFmtId="0" fontId="11" fillId="0" borderId="10" xfId="0" applyFont="1" applyBorder="1" applyAlignment="1">
      <alignment vertical="center" wrapText="1"/>
    </xf>
    <xf numFmtId="0" fontId="2" fillId="0" borderId="3" xfId="0" applyFont="1" applyBorder="1" applyAlignment="1">
      <alignment horizontal="left" vertical="center" wrapText="1" indent="1"/>
    </xf>
    <xf numFmtId="0" fontId="12" fillId="0" borderId="0" xfId="0" applyFont="1">
      <alignment vertical="center"/>
    </xf>
    <xf numFmtId="0" fontId="5" fillId="0" borderId="12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0" fontId="1" fillId="0" borderId="0" xfId="0" applyFont="1" applyBorder="1" applyAlignment="1">
      <alignment vertical="center" wrapText="1"/>
    </xf>
    <xf numFmtId="0" fontId="5" fillId="0" borderId="13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5"/>
  <sheetViews>
    <sheetView tabSelected="1" topLeftCell="A34" zoomScale="190" zoomScaleNormal="190" workbookViewId="0">
      <selection activeCell="I42" sqref="I42"/>
    </sheetView>
  </sheetViews>
  <sheetFormatPr defaultRowHeight="14.25" x14ac:dyDescent="0.2"/>
  <cols>
    <col min="5" max="5" width="10.875" bestFit="1" customWidth="1"/>
  </cols>
  <sheetData>
    <row r="1" spans="1:9" ht="33" thickTop="1" thickBot="1" x14ac:dyDescent="0.25">
      <c r="A1" s="5" t="s">
        <v>0</v>
      </c>
      <c r="B1" s="6" t="s">
        <v>1</v>
      </c>
      <c r="C1" s="7" t="s">
        <v>2</v>
      </c>
      <c r="D1" s="7" t="s">
        <v>3</v>
      </c>
      <c r="E1" s="7" t="s">
        <v>5</v>
      </c>
      <c r="F1" s="8" t="s">
        <v>6</v>
      </c>
      <c r="G1" s="8" t="s">
        <v>7</v>
      </c>
      <c r="H1" s="8" t="s">
        <v>8</v>
      </c>
    </row>
    <row r="2" spans="1:9" ht="16.5" thickTop="1" thickBot="1" x14ac:dyDescent="0.25">
      <c r="A2" s="5" t="s">
        <v>4</v>
      </c>
      <c r="B2" s="9">
        <v>7.99918</v>
      </c>
      <c r="C2" s="9">
        <v>5.3122299999999996</v>
      </c>
      <c r="D2" s="9">
        <v>16.016819999999999</v>
      </c>
      <c r="E2" s="9">
        <f>(F2+G2)/2</f>
        <v>499.00167459650527</v>
      </c>
      <c r="F2" s="11">
        <f>B2/D2*1000</f>
        <v>499.42373080299342</v>
      </c>
      <c r="G2" s="11">
        <f>(B2/C2-1)*H2</f>
        <v>498.57961839001717</v>
      </c>
      <c r="H2" s="11">
        <v>985.71600000000001</v>
      </c>
    </row>
    <row r="3" spans="1:9" ht="18" thickTop="1" thickBot="1" x14ac:dyDescent="0.25">
      <c r="A3" s="4"/>
    </row>
    <row r="4" spans="1:9" ht="15.75" thickTop="1" thickBot="1" x14ac:dyDescent="0.25">
      <c r="A4" s="10" t="s">
        <v>9</v>
      </c>
      <c r="B4" s="10">
        <v>1</v>
      </c>
      <c r="C4" s="10">
        <v>2</v>
      </c>
      <c r="D4" s="10">
        <v>3</v>
      </c>
      <c r="E4" s="10">
        <v>4</v>
      </c>
      <c r="F4" s="10">
        <v>5</v>
      </c>
    </row>
    <row r="5" spans="1:9" ht="15.75" thickTop="1" thickBot="1" x14ac:dyDescent="0.25">
      <c r="A5" s="10" t="s">
        <v>11</v>
      </c>
      <c r="B5" s="10">
        <v>5.1465699999999996</v>
      </c>
      <c r="C5" s="10">
        <v>5.3880699999999999</v>
      </c>
      <c r="D5" s="10">
        <v>4.4039000000000001</v>
      </c>
      <c r="E5" s="10">
        <v>4.93466</v>
      </c>
      <c r="F5" s="10">
        <v>6.0346599999999997</v>
      </c>
    </row>
    <row r="6" spans="1:9" ht="15.75" thickTop="1" thickBot="1" x14ac:dyDescent="0.25">
      <c r="A6" s="10" t="s">
        <v>10</v>
      </c>
      <c r="B6" s="10">
        <v>5.7189100000000002</v>
      </c>
      <c r="C6" s="10">
        <v>5.2345600000000001</v>
      </c>
      <c r="D6" s="10">
        <v>7.2055100000000003</v>
      </c>
      <c r="E6" s="10">
        <v>6.1423500000000004</v>
      </c>
      <c r="F6" s="10">
        <v>3.9330699999999998</v>
      </c>
    </row>
    <row r="7" spans="1:9" ht="15.75" thickTop="1" thickBot="1" x14ac:dyDescent="0.25"/>
    <row r="8" spans="1:9" ht="15.75" thickTop="1" thickBot="1" x14ac:dyDescent="0.25">
      <c r="A8" s="10" t="s">
        <v>9</v>
      </c>
      <c r="B8" s="10">
        <v>1</v>
      </c>
      <c r="C8" s="10">
        <v>2</v>
      </c>
      <c r="D8" s="10">
        <v>3</v>
      </c>
      <c r="E8" s="10">
        <v>4</v>
      </c>
      <c r="F8" s="10">
        <v>5</v>
      </c>
    </row>
    <row r="9" spans="1:9" ht="15.75" thickTop="1" thickBot="1" x14ac:dyDescent="0.25">
      <c r="A9" s="10" t="s">
        <v>11</v>
      </c>
      <c r="B9" s="10">
        <v>5.1480899999999998</v>
      </c>
      <c r="C9" s="10">
        <v>5.38971</v>
      </c>
      <c r="D9" s="10">
        <v>4.4018899999999999</v>
      </c>
      <c r="E9" s="10">
        <v>4.93309</v>
      </c>
      <c r="F9" s="10">
        <v>6.0378299999999996</v>
      </c>
    </row>
    <row r="10" spans="1:9" ht="15.75" thickTop="1" thickBot="1" x14ac:dyDescent="0.25">
      <c r="A10" s="10" t="s">
        <v>10</v>
      </c>
      <c r="B10" s="10">
        <v>5.7177499999999997</v>
      </c>
      <c r="C10" s="10">
        <v>5.23414</v>
      </c>
      <c r="D10" s="10">
        <v>7.2036300000000004</v>
      </c>
      <c r="E10" s="10">
        <v>6.1407999999999996</v>
      </c>
      <c r="F10" s="10">
        <v>3.9325000000000001</v>
      </c>
    </row>
    <row r="11" spans="1:9" ht="15.75" thickTop="1" thickBot="1" x14ac:dyDescent="0.25"/>
    <row r="12" spans="1:9" ht="16.5" thickBot="1" x14ac:dyDescent="0.25">
      <c r="A12" s="24" t="s">
        <v>12</v>
      </c>
      <c r="B12" s="25"/>
      <c r="C12" s="12" t="s">
        <v>13</v>
      </c>
      <c r="D12" s="13">
        <v>0</v>
      </c>
      <c r="E12" s="13">
        <v>0.5</v>
      </c>
      <c r="F12" s="13">
        <v>1</v>
      </c>
      <c r="G12" s="13">
        <v>1.5</v>
      </c>
      <c r="H12" s="13">
        <v>2</v>
      </c>
      <c r="I12" s="13">
        <v>2.5</v>
      </c>
    </row>
    <row r="13" spans="1:9" ht="17.25" thickBot="1" x14ac:dyDescent="0.25">
      <c r="A13" s="14"/>
      <c r="B13" s="16" t="s">
        <v>15</v>
      </c>
      <c r="C13" s="17" t="s">
        <v>16</v>
      </c>
      <c r="D13" s="26">
        <v>0</v>
      </c>
      <c r="E13" s="26">
        <v>1.000459</v>
      </c>
      <c r="F13" s="26">
        <v>2.000489</v>
      </c>
      <c r="G13" s="26">
        <v>3.0011700000000001</v>
      </c>
      <c r="H13" s="26">
        <v>4.0006399999999998</v>
      </c>
      <c r="I13" s="26">
        <v>5.0003599999999997</v>
      </c>
    </row>
    <row r="14" spans="1:9" ht="17.25" thickBot="1" x14ac:dyDescent="0.25">
      <c r="A14" s="15" t="s">
        <v>14</v>
      </c>
      <c r="B14" s="16" t="s">
        <v>17</v>
      </c>
      <c r="C14" s="18" t="s">
        <v>18</v>
      </c>
      <c r="D14" s="23" t="s">
        <v>19</v>
      </c>
      <c r="E14" s="26"/>
      <c r="F14" s="26"/>
      <c r="G14" s="26"/>
      <c r="H14" s="26"/>
      <c r="I14" s="26"/>
    </row>
    <row r="15" spans="1:9" ht="16.5" x14ac:dyDescent="0.2">
      <c r="A15" s="14"/>
      <c r="B15" s="21"/>
      <c r="C15" s="22" t="s">
        <v>21</v>
      </c>
      <c r="D15" s="27">
        <v>0</v>
      </c>
      <c r="E15" s="27">
        <v>0.50215299999999996</v>
      </c>
      <c r="F15" s="27">
        <v>1.0042800000000001</v>
      </c>
      <c r="G15" s="27">
        <v>1.506672</v>
      </c>
      <c r="H15" s="27">
        <v>2.0084230000000001</v>
      </c>
      <c r="I15" s="27">
        <v>2.5108899999999998</v>
      </c>
    </row>
    <row r="16" spans="1:9" ht="16.5" thickBot="1" x14ac:dyDescent="0.25">
      <c r="A16" s="19" t="s">
        <v>20</v>
      </c>
      <c r="B16" s="16" t="s">
        <v>15</v>
      </c>
      <c r="C16" s="23" t="s">
        <v>22</v>
      </c>
      <c r="D16" s="28"/>
      <c r="E16" s="28"/>
      <c r="F16" s="28"/>
      <c r="G16" s="28"/>
      <c r="H16" s="28"/>
      <c r="I16" s="28"/>
    </row>
    <row r="17" spans="1:9" ht="16.5" thickBot="1" x14ac:dyDescent="0.25">
      <c r="A17" s="20"/>
      <c r="B17" s="16" t="s">
        <v>17</v>
      </c>
      <c r="C17" s="17" t="s">
        <v>23</v>
      </c>
      <c r="D17" s="23" t="s">
        <v>19</v>
      </c>
      <c r="E17" s="26"/>
      <c r="F17" s="26"/>
      <c r="G17" s="26"/>
      <c r="H17" s="26"/>
      <c r="I17" s="26"/>
    </row>
    <row r="18" spans="1:9" ht="15" thickBot="1" x14ac:dyDescent="0.25"/>
    <row r="19" spans="1:9" ht="32.25" thickBot="1" x14ac:dyDescent="0.25">
      <c r="A19" s="34" t="s">
        <v>12</v>
      </c>
      <c r="B19" s="35"/>
      <c r="C19" s="29" t="s">
        <v>24</v>
      </c>
      <c r="D19" s="13">
        <v>1</v>
      </c>
      <c r="E19" s="13">
        <v>2</v>
      </c>
      <c r="F19" s="13">
        <v>3</v>
      </c>
      <c r="G19" s="13">
        <v>4</v>
      </c>
      <c r="H19" s="13">
        <v>5</v>
      </c>
    </row>
    <row r="20" spans="1:9" ht="32.25" thickBot="1" x14ac:dyDescent="0.25">
      <c r="A20" s="14"/>
      <c r="B20" s="16" t="s">
        <v>15</v>
      </c>
      <c r="C20" s="31" t="s">
        <v>25</v>
      </c>
      <c r="D20" s="26">
        <v>3.0009299999999999</v>
      </c>
      <c r="E20" s="26">
        <v>4.4997199999999999</v>
      </c>
      <c r="F20" s="26">
        <v>6.0033399999999997</v>
      </c>
      <c r="G20" s="26">
        <v>7.5007200000000003</v>
      </c>
      <c r="H20" s="26">
        <v>9.0020000000000007</v>
      </c>
    </row>
    <row r="21" spans="1:9" ht="17.25" thickBot="1" x14ac:dyDescent="0.25">
      <c r="A21" s="30" t="s">
        <v>14</v>
      </c>
      <c r="B21" s="16" t="s">
        <v>17</v>
      </c>
      <c r="C21" s="18" t="s">
        <v>18</v>
      </c>
      <c r="D21" s="26"/>
      <c r="E21" s="26"/>
      <c r="F21" s="26"/>
      <c r="G21" s="26"/>
      <c r="H21" s="26"/>
    </row>
    <row r="22" spans="1:9" ht="17.25" thickBot="1" x14ac:dyDescent="0.25">
      <c r="A22" s="14"/>
      <c r="B22" s="16" t="s">
        <v>15</v>
      </c>
      <c r="C22" s="32" t="s">
        <v>26</v>
      </c>
      <c r="D22" s="26">
        <v>1.5065569999999999</v>
      </c>
      <c r="E22" s="26">
        <v>1.5066010000000001</v>
      </c>
      <c r="F22" s="26">
        <v>1.50654</v>
      </c>
      <c r="G22" s="26">
        <v>1.506521</v>
      </c>
      <c r="H22" s="26">
        <v>1.50637</v>
      </c>
    </row>
    <row r="23" spans="1:9" ht="16.5" thickBot="1" x14ac:dyDescent="0.25">
      <c r="A23" s="30" t="s">
        <v>20</v>
      </c>
      <c r="B23" s="16" t="s">
        <v>17</v>
      </c>
      <c r="C23" s="33" t="s">
        <v>23</v>
      </c>
      <c r="D23" s="26"/>
      <c r="E23" s="26"/>
      <c r="F23" s="26"/>
      <c r="G23" s="26"/>
      <c r="H23" s="26"/>
    </row>
    <row r="24" spans="1:9" ht="15" thickBot="1" x14ac:dyDescent="0.25"/>
    <row r="25" spans="1:9" ht="32.25" thickBot="1" x14ac:dyDescent="0.25">
      <c r="A25" s="1" t="s">
        <v>12</v>
      </c>
      <c r="B25" s="29" t="s">
        <v>27</v>
      </c>
      <c r="C25" s="13">
        <v>1</v>
      </c>
      <c r="D25" s="13">
        <v>2</v>
      </c>
      <c r="E25" s="13">
        <v>3</v>
      </c>
      <c r="F25" s="13">
        <v>4</v>
      </c>
      <c r="G25" s="13">
        <v>5</v>
      </c>
    </row>
    <row r="26" spans="1:9" ht="32.25" thickBot="1" x14ac:dyDescent="0.25">
      <c r="A26" s="36" t="s">
        <v>15</v>
      </c>
      <c r="B26" s="31" t="s">
        <v>28</v>
      </c>
      <c r="C26" s="26">
        <v>1.3679049999999999</v>
      </c>
      <c r="D26" s="26">
        <v>0.71740499999999996</v>
      </c>
      <c r="E26" s="26">
        <v>0.485676</v>
      </c>
      <c r="F26" s="26">
        <v>0.36746800000000002</v>
      </c>
      <c r="G26" s="26">
        <v>0.29536899999999999</v>
      </c>
    </row>
    <row r="27" spans="1:9" ht="32.25" thickBot="1" x14ac:dyDescent="0.25">
      <c r="A27" s="37"/>
      <c r="B27" s="31" t="s">
        <v>25</v>
      </c>
      <c r="C27" s="26">
        <v>-1.5008840000000001</v>
      </c>
      <c r="D27" s="26">
        <v>-0.75094300000000003</v>
      </c>
      <c r="E27" s="26">
        <v>-0.50020299999999995</v>
      </c>
      <c r="F27" s="26">
        <v>-0.37537900000000002</v>
      </c>
      <c r="G27" s="26">
        <v>-0.300238</v>
      </c>
    </row>
    <row r="28" spans="1:9" ht="32.25" thickBot="1" x14ac:dyDescent="0.25">
      <c r="A28" s="2" t="s">
        <v>17</v>
      </c>
      <c r="B28" s="32" t="s">
        <v>29</v>
      </c>
      <c r="C28" s="26"/>
      <c r="D28" s="26"/>
      <c r="E28" s="26"/>
      <c r="F28" s="26"/>
      <c r="G28" s="26"/>
    </row>
    <row r="29" spans="1:9" ht="15" thickBot="1" x14ac:dyDescent="0.25"/>
    <row r="30" spans="1:9" ht="32.25" thickBot="1" x14ac:dyDescent="0.25">
      <c r="A30" s="1" t="s">
        <v>12</v>
      </c>
      <c r="B30" s="12" t="s">
        <v>30</v>
      </c>
      <c r="C30" s="13">
        <v>1</v>
      </c>
      <c r="D30" s="13">
        <v>2</v>
      </c>
      <c r="E30" s="13">
        <v>3</v>
      </c>
      <c r="F30" s="13">
        <v>4</v>
      </c>
      <c r="G30" s="13">
        <v>5</v>
      </c>
    </row>
    <row r="31" spans="1:9" ht="32.25" thickBot="1" x14ac:dyDescent="0.25">
      <c r="A31" s="38"/>
      <c r="B31" s="17" t="s">
        <v>28</v>
      </c>
      <c r="C31" s="26">
        <v>1.3679049999999999</v>
      </c>
      <c r="D31" s="3">
        <v>1.367855</v>
      </c>
      <c r="E31" s="3">
        <v>1.367729</v>
      </c>
      <c r="F31" s="3">
        <v>1.367704</v>
      </c>
      <c r="G31" s="3">
        <v>1.367691</v>
      </c>
    </row>
    <row r="32" spans="1:9" ht="32.25" thickBot="1" x14ac:dyDescent="0.25">
      <c r="A32" s="39" t="s">
        <v>15</v>
      </c>
      <c r="B32" s="17" t="s">
        <v>25</v>
      </c>
      <c r="C32" s="26">
        <v>-1.5008840000000001</v>
      </c>
      <c r="D32" s="3">
        <v>-3.0003600000000001</v>
      </c>
      <c r="E32" s="3">
        <v>-4.5005199999999999</v>
      </c>
      <c r="F32" s="3">
        <v>-6.0064200000000003</v>
      </c>
      <c r="G32" s="3">
        <v>7.5006399999999998</v>
      </c>
    </row>
    <row r="33" spans="1:7" ht="16.5" thickBot="1" x14ac:dyDescent="0.25">
      <c r="A33" s="2" t="s">
        <v>17</v>
      </c>
      <c r="B33" s="17" t="s">
        <v>29</v>
      </c>
      <c r="C33" s="3"/>
      <c r="D33" s="3"/>
      <c r="E33" s="3"/>
      <c r="F33" s="3"/>
      <c r="G33" s="3"/>
    </row>
    <row r="34" spans="1:7" ht="15" thickBot="1" x14ac:dyDescent="0.25">
      <c r="A34" s="40"/>
    </row>
    <row r="35" spans="1:7" ht="32.25" thickBot="1" x14ac:dyDescent="0.25">
      <c r="A35" s="1" t="s">
        <v>12</v>
      </c>
      <c r="B35" s="13" t="s">
        <v>31</v>
      </c>
      <c r="C35" s="13">
        <v>0.5</v>
      </c>
      <c r="D35" s="41">
        <v>2</v>
      </c>
      <c r="E35" s="44">
        <v>3</v>
      </c>
      <c r="F35" s="42"/>
      <c r="G35" s="42"/>
    </row>
    <row r="36" spans="1:7" ht="32.25" thickBot="1" x14ac:dyDescent="0.25">
      <c r="A36" s="38"/>
      <c r="B36" s="17" t="s">
        <v>28</v>
      </c>
      <c r="C36" s="26">
        <v>0.48563299999999998</v>
      </c>
      <c r="D36" s="45">
        <v>0.48559600000000003</v>
      </c>
      <c r="E36" s="46">
        <v>0.48558499999999999</v>
      </c>
      <c r="F36" s="43"/>
      <c r="G36" s="43"/>
    </row>
    <row r="37" spans="1:7" ht="16.5" thickBot="1" x14ac:dyDescent="0.25">
      <c r="A37" s="39" t="s">
        <v>15</v>
      </c>
      <c r="B37" s="17" t="s">
        <v>32</v>
      </c>
      <c r="C37" s="26">
        <v>1.004189</v>
      </c>
      <c r="D37" s="45">
        <v>1.0041659999999999</v>
      </c>
      <c r="E37" s="47">
        <v>1.004138</v>
      </c>
      <c r="F37" s="43"/>
      <c r="G37" s="43"/>
    </row>
    <row r="38" spans="1:7" ht="15" thickBot="1" x14ac:dyDescent="0.25"/>
    <row r="39" spans="1:7" ht="32.25" thickBot="1" x14ac:dyDescent="0.25">
      <c r="A39" s="1" t="s">
        <v>12</v>
      </c>
      <c r="B39" s="12" t="s">
        <v>33</v>
      </c>
      <c r="C39" s="13">
        <v>1</v>
      </c>
      <c r="D39" s="13">
        <v>1.5</v>
      </c>
      <c r="E39" s="13">
        <v>2</v>
      </c>
      <c r="F39" s="13">
        <v>2.5</v>
      </c>
      <c r="G39" s="13">
        <v>3</v>
      </c>
    </row>
    <row r="40" spans="1:7" ht="32.25" thickBot="1" x14ac:dyDescent="0.25">
      <c r="A40" s="38"/>
      <c r="B40" s="17" t="s">
        <v>28</v>
      </c>
      <c r="C40" s="26">
        <v>1.3683639999999999</v>
      </c>
      <c r="D40" s="26">
        <v>0.94055100000000003</v>
      </c>
      <c r="E40" s="26">
        <v>0.71723899999999996</v>
      </c>
      <c r="F40" s="26">
        <v>0.57869000000000004</v>
      </c>
      <c r="G40" s="26">
        <v>0.485379</v>
      </c>
    </row>
    <row r="41" spans="1:7" ht="16.5" thickBot="1" x14ac:dyDescent="0.25">
      <c r="A41" s="39" t="s">
        <v>15</v>
      </c>
      <c r="B41" s="17" t="s">
        <v>34</v>
      </c>
      <c r="C41" s="26">
        <v>3.0153300000000001</v>
      </c>
      <c r="D41" s="26">
        <v>2.0086970000000002</v>
      </c>
      <c r="E41" s="26">
        <v>1.507398</v>
      </c>
      <c r="F41" s="26">
        <v>1.204337</v>
      </c>
      <c r="G41" s="26">
        <v>1.0035689999999999</v>
      </c>
    </row>
    <row r="42" spans="1:7" ht="15" thickBot="1" x14ac:dyDescent="0.25"/>
    <row r="43" spans="1:7" ht="32.25" thickBot="1" x14ac:dyDescent="0.25">
      <c r="A43" s="1" t="s">
        <v>12</v>
      </c>
      <c r="B43" s="12" t="s">
        <v>35</v>
      </c>
      <c r="C43" s="13">
        <v>1</v>
      </c>
      <c r="D43" s="13">
        <v>2</v>
      </c>
      <c r="E43" s="13">
        <v>3</v>
      </c>
      <c r="F43" s="13">
        <v>4</v>
      </c>
      <c r="G43" s="13">
        <v>5</v>
      </c>
    </row>
    <row r="44" spans="1:7" ht="32.25" thickBot="1" x14ac:dyDescent="0.25">
      <c r="A44" s="38"/>
      <c r="B44" s="17" t="s">
        <v>28</v>
      </c>
      <c r="C44" s="26">
        <v>0.485371</v>
      </c>
      <c r="D44" s="26">
        <v>0.48534500000000003</v>
      </c>
      <c r="E44" s="26">
        <v>0.485323</v>
      </c>
      <c r="F44" s="26">
        <v>0.48529800000000001</v>
      </c>
      <c r="G44" s="26">
        <v>0.48528900000000003</v>
      </c>
    </row>
    <row r="45" spans="1:7" ht="16.5" thickBot="1" x14ac:dyDescent="0.25">
      <c r="A45" s="39" t="s">
        <v>15</v>
      </c>
      <c r="B45" s="17" t="s">
        <v>34</v>
      </c>
      <c r="C45" s="26">
        <v>1.003652</v>
      </c>
      <c r="D45" s="26">
        <v>0.75278199999999995</v>
      </c>
      <c r="E45" s="26">
        <v>0.66894100000000001</v>
      </c>
      <c r="F45" s="26">
        <v>0.62723499999999999</v>
      </c>
      <c r="G45" s="26">
        <v>0.60209199999999996</v>
      </c>
    </row>
  </sheetData>
  <mergeCells count="9">
    <mergeCell ref="I15:I16"/>
    <mergeCell ref="A19:B19"/>
    <mergeCell ref="A26:A27"/>
    <mergeCell ref="A12:B12"/>
    <mergeCell ref="D15:D16"/>
    <mergeCell ref="E15:E16"/>
    <mergeCell ref="F15:F16"/>
    <mergeCell ref="G15:G16"/>
    <mergeCell ref="H15:H16"/>
  </mergeCells>
  <phoneticPr fontId="8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2020-12-07T00:41:44Z</dcterms:created>
  <dcterms:modified xsi:type="dcterms:W3CDTF">2020-12-07T02:57:14Z</dcterms:modified>
</cp:coreProperties>
</file>